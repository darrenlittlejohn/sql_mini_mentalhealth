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rren\Dev\sql_mini_mentalhealth\"/>
    </mc:Choice>
  </mc:AlternateContent>
  <xr:revisionPtr revIDLastSave="0" documentId="8_{41542316-3D3F-437E-ADA0-4EA8224C045A}" xr6:coauthVersionLast="47" xr6:coauthVersionMax="47" xr10:uidLastSave="{00000000-0000-0000-0000-000000000000}"/>
  <bookViews>
    <workbookView xWindow="11169" yWindow="377" windowWidth="24891" windowHeight="16620" xr2:uid="{23B67B17-E0CC-4D28-9F9F-6BE11A8A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E5" i="1"/>
  <c r="B6" i="1"/>
  <c r="B5" i="1"/>
  <c r="D4" i="1"/>
  <c r="C4" i="1"/>
  <c r="E4" i="1"/>
  <c r="D6" i="1"/>
  <c r="B4" i="1"/>
  <c r="H46" i="1"/>
  <c r="D42" i="1"/>
  <c r="C42" i="1"/>
  <c r="B42" i="1"/>
  <c r="E41" i="1"/>
  <c r="E40" i="1"/>
  <c r="H57" i="1"/>
  <c r="D53" i="1"/>
  <c r="C53" i="1"/>
  <c r="B53" i="1"/>
  <c r="E52" i="1"/>
  <c r="E51" i="1"/>
  <c r="H10" i="1"/>
  <c r="H34" i="1"/>
  <c r="D30" i="1"/>
  <c r="C30" i="1"/>
  <c r="B30" i="1"/>
  <c r="E29" i="1"/>
  <c r="E28" i="1"/>
  <c r="H22" i="1"/>
  <c r="C18" i="1"/>
  <c r="D18" i="1"/>
  <c r="B18" i="1"/>
  <c r="E17" i="1"/>
  <c r="E16" i="1"/>
  <c r="C6" i="1" l="1"/>
  <c r="E42" i="1"/>
  <c r="I40" i="1" s="1"/>
  <c r="E53" i="1"/>
  <c r="I52" i="1" s="1"/>
  <c r="C58" i="1" s="1"/>
  <c r="E6" i="1"/>
  <c r="E30" i="1"/>
  <c r="J28" i="1" s="1"/>
  <c r="E18" i="1"/>
  <c r="I17" i="1" s="1"/>
  <c r="C23" i="1" s="1"/>
  <c r="I4" i="1" l="1"/>
  <c r="C10" i="1" s="1"/>
  <c r="H40" i="1"/>
  <c r="J40" i="1"/>
  <c r="D46" i="1" s="1"/>
  <c r="J41" i="1"/>
  <c r="D47" i="1" s="1"/>
  <c r="I41" i="1"/>
  <c r="C47" i="1" s="1"/>
  <c r="H41" i="1"/>
  <c r="C46" i="1"/>
  <c r="H51" i="1"/>
  <c r="J51" i="1"/>
  <c r="H52" i="1"/>
  <c r="J52" i="1"/>
  <c r="D58" i="1" s="1"/>
  <c r="I51" i="1"/>
  <c r="I5" i="1"/>
  <c r="C11" i="1" s="1"/>
  <c r="H4" i="1"/>
  <c r="J4" i="1"/>
  <c r="J5" i="1"/>
  <c r="D11" i="1" s="1"/>
  <c r="H5" i="1"/>
  <c r="D34" i="1"/>
  <c r="I28" i="1"/>
  <c r="J29" i="1"/>
  <c r="D35" i="1" s="1"/>
  <c r="I29" i="1"/>
  <c r="C35" i="1" s="1"/>
  <c r="H28" i="1"/>
  <c r="H29" i="1"/>
  <c r="I16" i="1"/>
  <c r="J16" i="1"/>
  <c r="H17" i="1"/>
  <c r="H16" i="1"/>
  <c r="J17" i="1"/>
  <c r="D23" i="1" s="1"/>
  <c r="K41" i="1" l="1"/>
  <c r="B47" i="1"/>
  <c r="J42" i="1"/>
  <c r="I42" i="1"/>
  <c r="H42" i="1"/>
  <c r="B46" i="1"/>
  <c r="K40" i="1"/>
  <c r="K42" i="1" s="1"/>
  <c r="C57" i="1"/>
  <c r="I53" i="1"/>
  <c r="B58" i="1"/>
  <c r="K52" i="1"/>
  <c r="J53" i="1"/>
  <c r="D57" i="1"/>
  <c r="H53" i="1"/>
  <c r="B57" i="1"/>
  <c r="K51" i="1"/>
  <c r="I6" i="1"/>
  <c r="B11" i="1"/>
  <c r="K5" i="1"/>
  <c r="J6" i="1"/>
  <c r="D10" i="1"/>
  <c r="K4" i="1"/>
  <c r="H6" i="1"/>
  <c r="B10" i="1"/>
  <c r="J30" i="1"/>
  <c r="H30" i="1"/>
  <c r="B34" i="1"/>
  <c r="K28" i="1"/>
  <c r="K29" i="1"/>
  <c r="B35" i="1"/>
  <c r="I30" i="1"/>
  <c r="C34" i="1"/>
  <c r="K16" i="1"/>
  <c r="B22" i="1"/>
  <c r="H18" i="1"/>
  <c r="K17" i="1"/>
  <c r="B23" i="1"/>
  <c r="D22" i="1"/>
  <c r="J18" i="1"/>
  <c r="I18" i="1"/>
  <c r="C22" i="1"/>
  <c r="H45" i="1" l="1"/>
  <c r="H47" i="1" s="1"/>
  <c r="K53" i="1"/>
  <c r="H56" i="1"/>
  <c r="H58" i="1" s="1"/>
  <c r="K6" i="1"/>
  <c r="H9" i="1"/>
  <c r="H11" i="1" s="1"/>
  <c r="H33" i="1"/>
  <c r="H35" i="1" s="1"/>
  <c r="K30" i="1"/>
  <c r="H21" i="1"/>
  <c r="H23" i="1" s="1"/>
  <c r="K18" i="1"/>
</calcChain>
</file>

<file path=xl/sharedStrings.xml><?xml version="1.0" encoding="utf-8"?>
<sst xmlns="http://schemas.openxmlformats.org/spreadsheetml/2006/main" count="125" uniqueCount="20">
  <si>
    <t>No Unmet Need</t>
  </si>
  <si>
    <t>Unmet Need</t>
  </si>
  <si>
    <t>Full-time</t>
  </si>
  <si>
    <t>Part-time</t>
  </si>
  <si>
    <t>Unemployed</t>
  </si>
  <si>
    <t>Row Total</t>
  </si>
  <si>
    <t>#1 - Observed</t>
  </si>
  <si>
    <t>#2 - Expected (row sum*col sum/total)</t>
  </si>
  <si>
    <t xml:space="preserve">#3 Chi-square </t>
  </si>
  <si>
    <t>#4 Test values</t>
  </si>
  <si>
    <t>df</t>
  </si>
  <si>
    <t>x2</t>
  </si>
  <si>
    <t>p-value</t>
  </si>
  <si>
    <r>
      <t xml:space="preserve">Employment Status x Unmet Need, </t>
    </r>
    <r>
      <rPr>
        <b/>
        <sz val="18"/>
        <color rgb="FFFF0000"/>
        <rFont val="Calibri"/>
        <family val="2"/>
        <scheme val="minor"/>
      </rPr>
      <t>18-25 (all sexes)</t>
    </r>
  </si>
  <si>
    <r>
      <t xml:space="preserve">Employment Status x Unmet Need, </t>
    </r>
    <r>
      <rPr>
        <b/>
        <sz val="18"/>
        <color rgb="FFFF0000"/>
        <rFont val="Calibri"/>
        <family val="2"/>
        <scheme val="minor"/>
      </rPr>
      <t>18-25 Female</t>
    </r>
  </si>
  <si>
    <r>
      <t>Employment Status x Unmet Need,</t>
    </r>
    <r>
      <rPr>
        <b/>
        <sz val="18"/>
        <color rgb="FFFF0000"/>
        <rFont val="Calibri"/>
        <family val="2"/>
        <scheme val="minor"/>
      </rPr>
      <t xml:space="preserve"> (all ages) Female</t>
    </r>
  </si>
  <si>
    <r>
      <t>Employment Status x Unmet Need,</t>
    </r>
    <r>
      <rPr>
        <b/>
        <sz val="18"/>
        <color rgb="FFFF0000"/>
        <rFont val="Calibri"/>
        <family val="2"/>
        <scheme val="minor"/>
      </rPr>
      <t xml:space="preserve"> (all ages) Males </t>
    </r>
  </si>
  <si>
    <t>not significant</t>
  </si>
  <si>
    <t>significant</t>
  </si>
  <si>
    <r>
      <t xml:space="preserve">Employment Status x Unmet Need, </t>
    </r>
    <r>
      <rPr>
        <b/>
        <sz val="18"/>
        <color rgb="FFFF0000"/>
        <rFont val="Calibri"/>
        <family val="2"/>
        <scheme val="minor"/>
      </rPr>
      <t>18-25 Male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</si>
</sst>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/>
    <xf numFmtId="164" fontId="0" fillId="0" borderId="1" xfId="0" applyNumberFormat="1" applyFill="1" applyBorder="1"/>
    <xf numFmtId="164" fontId="2" fillId="0" borderId="1" xfId="0" applyNumberFormat="1" applyFont="1" applyFill="1" applyBorder="1"/>
    <xf numFmtId="164" fontId="2" fillId="0" borderId="0" xfId="0" applyNumberFormat="1" applyFont="1" applyFill="1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65" fontId="0" fillId="0" borderId="1" xfId="0" applyNumberFormat="1" applyFill="1" applyBorder="1"/>
    <xf numFmtId="2" fontId="0" fillId="0" borderId="1" xfId="0" applyNumberFormat="1" applyFill="1" applyBorder="1"/>
    <xf numFmtId="0" fontId="3" fillId="0" borderId="1" xfId="0" applyFont="1" applyFill="1" applyBorder="1"/>
    <xf numFmtId="2" fontId="0" fillId="0" borderId="0" xfId="0" applyNumberFormat="1" applyFill="1"/>
    <xf numFmtId="2" fontId="1" fillId="0" borderId="1" xfId="0" applyNumberFormat="1" applyFont="1" applyFill="1" applyBorder="1"/>
    <xf numFmtId="2" fontId="2" fillId="0" borderId="0" xfId="0" applyNumberFormat="1" applyFont="1" applyFill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FE6E-6A83-4106-ABB5-1F07B91DCAFF}">
  <sheetPr codeName="Sheet1"/>
  <dimension ref="A1:K58"/>
  <sheetViews>
    <sheetView tabSelected="1" zoomScaleNormal="100" workbookViewId="0">
      <selection activeCell="H42" sqref="H42"/>
    </sheetView>
  </sheetViews>
  <sheetFormatPr defaultRowHeight="14.6" x14ac:dyDescent="0.4"/>
  <cols>
    <col min="1" max="1" width="18.3046875" style="2" customWidth="1"/>
    <col min="2" max="3" width="9.23046875" style="2"/>
    <col min="4" max="4" width="11.4609375" style="2" bestFit="1" customWidth="1"/>
    <col min="5" max="6" width="9.23046875" style="2"/>
    <col min="7" max="7" width="14.3046875" style="2" bestFit="1" customWidth="1"/>
    <col min="8" max="8" width="19.15234375" style="2" customWidth="1"/>
    <col min="9" max="9" width="13.07421875" style="2" bestFit="1" customWidth="1"/>
    <col min="10" max="10" width="11.61328125" style="2" bestFit="1" customWidth="1"/>
    <col min="11" max="16384" width="9.23046875" style="2"/>
  </cols>
  <sheetData>
    <row r="1" spans="1:11" ht="23.15" x14ac:dyDescent="0.6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">
      <c r="A2" s="3" t="s">
        <v>6</v>
      </c>
      <c r="B2" s="3"/>
      <c r="C2" s="3"/>
      <c r="D2" s="3"/>
      <c r="E2" s="3"/>
      <c r="G2" s="3" t="s">
        <v>7</v>
      </c>
      <c r="H2" s="3"/>
      <c r="I2" s="3"/>
      <c r="J2" s="3"/>
      <c r="K2" s="3"/>
    </row>
    <row r="3" spans="1:11" x14ac:dyDescent="0.4">
      <c r="A3" s="4"/>
      <c r="B3" s="4" t="s">
        <v>2</v>
      </c>
      <c r="C3" s="4" t="s">
        <v>3</v>
      </c>
      <c r="D3" s="4" t="s">
        <v>4</v>
      </c>
      <c r="E3" s="5" t="s">
        <v>5</v>
      </c>
      <c r="G3" s="4"/>
      <c r="H3" s="4" t="s">
        <v>2</v>
      </c>
      <c r="I3" s="4" t="s">
        <v>3</v>
      </c>
      <c r="J3" s="4" t="s">
        <v>4</v>
      </c>
      <c r="K3" s="4"/>
    </row>
    <row r="4" spans="1:11" x14ac:dyDescent="0.4">
      <c r="A4" s="4" t="s">
        <v>0</v>
      </c>
      <c r="B4" s="4">
        <f>2989+2215</f>
        <v>5204</v>
      </c>
      <c r="C4" s="4">
        <f>1310+1453</f>
        <v>2763</v>
      </c>
      <c r="D4" s="4">
        <f>711+475</f>
        <v>1186</v>
      </c>
      <c r="E4" s="4">
        <f>SUM(B4:D4)</f>
        <v>9153</v>
      </c>
      <c r="G4" s="4" t="s">
        <v>0</v>
      </c>
      <c r="H4" s="6">
        <f>E4*B6/E6</f>
        <v>764.50022946305648</v>
      </c>
      <c r="I4" s="6">
        <f>E4*C6/E6</f>
        <v>2858.0547039926573</v>
      </c>
      <c r="J4" s="6">
        <f>E4*D6/E6</f>
        <v>1158.5118861863241</v>
      </c>
      <c r="K4" s="7">
        <f>SUM(H4:J4)</f>
        <v>4781.0668196420374</v>
      </c>
    </row>
    <row r="5" spans="1:11" x14ac:dyDescent="0.4">
      <c r="A5" s="4" t="s">
        <v>1</v>
      </c>
      <c r="B5" s="4">
        <f>295+615</f>
        <v>910</v>
      </c>
      <c r="C5" s="4">
        <f>182+457</f>
        <v>639</v>
      </c>
      <c r="D5" s="4">
        <f>60+133</f>
        <v>193</v>
      </c>
      <c r="E5" s="4">
        <f>SUM(B5:D5)</f>
        <v>1742</v>
      </c>
      <c r="G5" s="4" t="s">
        <v>1</v>
      </c>
      <c r="H5" s="6">
        <f>E5*B6/E6</f>
        <v>145.49977053694354</v>
      </c>
      <c r="I5" s="6">
        <f>E5*C6/E6</f>
        <v>543.94529600734279</v>
      </c>
      <c r="J5" s="6">
        <f>E5*D6/E6</f>
        <v>220.48811381367599</v>
      </c>
      <c r="K5" s="7">
        <f>SUM(H5:J5)</f>
        <v>909.93318035796233</v>
      </c>
    </row>
    <row r="6" spans="1:11" x14ac:dyDescent="0.4">
      <c r="A6" s="4"/>
      <c r="B6" s="4">
        <f>295+615</f>
        <v>910</v>
      </c>
      <c r="C6" s="4">
        <f t="shared" ref="C6" si="0">SUM(C4:C5)</f>
        <v>3402</v>
      </c>
      <c r="D6" s="4">
        <f t="shared" ref="D6" si="1">SUM(D4:D5)</f>
        <v>1379</v>
      </c>
      <c r="E6" s="5">
        <f>SUM(E4:E5)</f>
        <v>10895</v>
      </c>
      <c r="H6" s="8">
        <f>SUM(H4:H5)</f>
        <v>910</v>
      </c>
      <c r="I6" s="8">
        <f t="shared" ref="I6" si="2">SUM(I4:I5)</f>
        <v>3402</v>
      </c>
      <c r="J6" s="8">
        <f t="shared" ref="J6" si="3">SUM(J4:J5)</f>
        <v>1379</v>
      </c>
      <c r="K6" s="8">
        <f>SUM(K4:K5)</f>
        <v>5691</v>
      </c>
    </row>
    <row r="8" spans="1:11" x14ac:dyDescent="0.4">
      <c r="A8" s="9" t="s">
        <v>8</v>
      </c>
      <c r="B8" s="9"/>
      <c r="C8" s="9"/>
      <c r="D8" s="9"/>
      <c r="G8" s="9" t="s">
        <v>9</v>
      </c>
      <c r="H8" s="9"/>
      <c r="I8" s="10"/>
      <c r="J8" s="10"/>
    </row>
    <row r="9" spans="1:11" x14ac:dyDescent="0.4">
      <c r="A9" s="4"/>
      <c r="B9" s="4" t="s">
        <v>2</v>
      </c>
      <c r="C9" s="4" t="s">
        <v>3</v>
      </c>
      <c r="D9" s="4" t="s">
        <v>4</v>
      </c>
      <c r="G9" s="5" t="s">
        <v>11</v>
      </c>
      <c r="H9" s="11">
        <f>SUM(B10:D11)</f>
        <v>29821.216794775584</v>
      </c>
    </row>
    <row r="10" spans="1:11" x14ac:dyDescent="0.4">
      <c r="A10" s="4" t="s">
        <v>0</v>
      </c>
      <c r="B10" s="12">
        <f t="shared" ref="B10:D11" si="4">(B4-H4)^2/H4</f>
        <v>25780.447739617051</v>
      </c>
      <c r="C10" s="12">
        <f t="shared" si="4"/>
        <v>3.1613799198837578</v>
      </c>
      <c r="D10" s="12">
        <f t="shared" si="4"/>
        <v>0.65221290350410566</v>
      </c>
      <c r="G10" s="13" t="s">
        <v>10</v>
      </c>
      <c r="H10" s="12">
        <f>(2-1)*(3-1)</f>
        <v>2</v>
      </c>
      <c r="I10" s="14"/>
      <c r="J10" s="14"/>
    </row>
    <row r="11" spans="1:11" x14ac:dyDescent="0.4">
      <c r="A11" s="4" t="s">
        <v>1</v>
      </c>
      <c r="B11" s="12">
        <f t="shared" si="4"/>
        <v>4016.9176809847054</v>
      </c>
      <c r="C11" s="12">
        <f t="shared" si="4"/>
        <v>16.610855572156122</v>
      </c>
      <c r="D11" s="12">
        <f t="shared" si="4"/>
        <v>3.426925778285371</v>
      </c>
      <c r="G11" s="5" t="s">
        <v>12</v>
      </c>
      <c r="H11" s="15">
        <f>_xlfn.CHISQ.DIST.RT(H9,H10)</f>
        <v>0</v>
      </c>
      <c r="I11" s="16" t="s">
        <v>18</v>
      </c>
      <c r="J11" s="14"/>
    </row>
    <row r="13" spans="1:11" ht="23.15" x14ac:dyDescent="0.6">
      <c r="A13" s="1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4">
      <c r="A14" s="17" t="s">
        <v>6</v>
      </c>
      <c r="B14" s="18"/>
      <c r="C14" s="18"/>
      <c r="D14" s="18"/>
      <c r="E14" s="19"/>
      <c r="G14" s="3" t="s">
        <v>7</v>
      </c>
      <c r="H14" s="3"/>
      <c r="I14" s="3"/>
      <c r="J14" s="3"/>
      <c r="K14" s="3"/>
    </row>
    <row r="15" spans="1:11" x14ac:dyDescent="0.4">
      <c r="A15" s="4"/>
      <c r="B15" s="4" t="s">
        <v>2</v>
      </c>
      <c r="C15" s="4" t="s">
        <v>3</v>
      </c>
      <c r="D15" s="4" t="s">
        <v>4</v>
      </c>
      <c r="E15" s="5" t="s">
        <v>5</v>
      </c>
      <c r="G15" s="4"/>
      <c r="H15" s="4" t="s">
        <v>2</v>
      </c>
      <c r="I15" s="4" t="s">
        <v>3</v>
      </c>
      <c r="J15" s="4" t="s">
        <v>4</v>
      </c>
      <c r="K15" s="4"/>
    </row>
    <row r="16" spans="1:11" ht="27" customHeight="1" x14ac:dyDescent="0.4">
      <c r="A16" s="4" t="s">
        <v>0</v>
      </c>
      <c r="B16" s="4">
        <v>9050</v>
      </c>
      <c r="C16" s="4">
        <v>3467</v>
      </c>
      <c r="D16" s="4">
        <v>969</v>
      </c>
      <c r="E16" s="4">
        <f>SUM(B16:D16)</f>
        <v>13486</v>
      </c>
      <c r="G16" s="4" t="s">
        <v>0</v>
      </c>
      <c r="H16" s="6">
        <f>E16*B18/E18</f>
        <v>8932.5520912547527</v>
      </c>
      <c r="I16" s="6">
        <f>E16*C18/E18</f>
        <v>3553.5353612167301</v>
      </c>
      <c r="J16" s="6">
        <f>E16*D18/E18</f>
        <v>999.91254752851717</v>
      </c>
      <c r="K16" s="7">
        <f>SUM(H16:J16)</f>
        <v>13485.999999999998</v>
      </c>
    </row>
    <row r="17" spans="1:11" ht="33.450000000000003" customHeight="1" x14ac:dyDescent="0.4">
      <c r="A17" s="4" t="s">
        <v>1</v>
      </c>
      <c r="B17" s="4">
        <v>1402</v>
      </c>
      <c r="C17" s="4">
        <v>691</v>
      </c>
      <c r="D17" s="4">
        <v>201</v>
      </c>
      <c r="E17" s="4">
        <f>SUM(B17:D17)</f>
        <v>2294</v>
      </c>
      <c r="G17" s="4" t="s">
        <v>1</v>
      </c>
      <c r="H17" s="6">
        <f>E17*B18/E18</f>
        <v>1519.4479087452471</v>
      </c>
      <c r="I17" s="6">
        <f>E17*C18/E18</f>
        <v>604.46463878326995</v>
      </c>
      <c r="J17" s="6">
        <f>E17*D18/E18</f>
        <v>170.08745247148289</v>
      </c>
      <c r="K17" s="7">
        <f>SUM(H17:J17)</f>
        <v>2294</v>
      </c>
    </row>
    <row r="18" spans="1:11" x14ac:dyDescent="0.4">
      <c r="A18" s="4"/>
      <c r="B18" s="4">
        <f>SUM(B16:B17)</f>
        <v>10452</v>
      </c>
      <c r="C18" s="4">
        <f t="shared" ref="C18:D18" si="5">SUM(C16:C17)</f>
        <v>4158</v>
      </c>
      <c r="D18" s="4">
        <f t="shared" si="5"/>
        <v>1170</v>
      </c>
      <c r="E18" s="5">
        <f>SUM(E16:E17)</f>
        <v>15780</v>
      </c>
      <c r="H18" s="8">
        <f>SUM(H16:H17)</f>
        <v>10452</v>
      </c>
      <c r="I18" s="8">
        <f t="shared" ref="I18:J18" si="6">SUM(I16:I17)</f>
        <v>4158</v>
      </c>
      <c r="J18" s="8">
        <f t="shared" si="6"/>
        <v>1170</v>
      </c>
      <c r="K18" s="8">
        <f>SUM(K16:K17)</f>
        <v>15779.999999999998</v>
      </c>
    </row>
    <row r="20" spans="1:11" x14ac:dyDescent="0.4">
      <c r="A20" s="9" t="s">
        <v>8</v>
      </c>
      <c r="B20" s="9"/>
      <c r="C20" s="9"/>
      <c r="D20" s="9"/>
      <c r="G20" s="9" t="s">
        <v>9</v>
      </c>
      <c r="H20" s="9"/>
      <c r="I20" s="10"/>
      <c r="J20" s="10"/>
    </row>
    <row r="21" spans="1:11" x14ac:dyDescent="0.4">
      <c r="A21" s="4"/>
      <c r="B21" s="4" t="s">
        <v>2</v>
      </c>
      <c r="C21" s="4" t="s">
        <v>3</v>
      </c>
      <c r="D21" s="4" t="s">
        <v>4</v>
      </c>
      <c r="G21" s="5" t="s">
        <v>11</v>
      </c>
      <c r="H21" s="11">
        <f>SUM(B22:D23)</f>
        <v>31.692148839533488</v>
      </c>
    </row>
    <row r="22" spans="1:11" x14ac:dyDescent="0.4">
      <c r="A22" s="4" t="s">
        <v>0</v>
      </c>
      <c r="B22" s="12">
        <f t="shared" ref="B22:D23" si="7">(B16-H16)^2/H16</f>
        <v>1.5442407866993255</v>
      </c>
      <c r="C22" s="12">
        <f t="shared" si="7"/>
        <v>2.107301033961269</v>
      </c>
      <c r="D22" s="12">
        <f t="shared" si="7"/>
        <v>0.95566917033369836</v>
      </c>
      <c r="G22" s="13" t="s">
        <v>10</v>
      </c>
      <c r="H22" s="12">
        <f>(2-1)*(3-1)</f>
        <v>2</v>
      </c>
      <c r="I22" s="14"/>
      <c r="J22" s="14"/>
    </row>
    <row r="23" spans="1:11" x14ac:dyDescent="0.4">
      <c r="A23" s="4" t="s">
        <v>1</v>
      </c>
      <c r="B23" s="12">
        <f t="shared" si="7"/>
        <v>9.0783048166639162</v>
      </c>
      <c r="C23" s="12">
        <f t="shared" si="7"/>
        <v>12.388431448998116</v>
      </c>
      <c r="D23" s="12">
        <f t="shared" si="7"/>
        <v>5.6182015828771616</v>
      </c>
      <c r="G23" s="5" t="s">
        <v>12</v>
      </c>
      <c r="H23" s="15">
        <f>_xlfn.CHISQ.DIST.RT(H21,H22)</f>
        <v>1.3126148693930286E-7</v>
      </c>
      <c r="I23" s="16" t="s">
        <v>18</v>
      </c>
      <c r="J23" s="14"/>
    </row>
    <row r="25" spans="1:11" ht="23.15" x14ac:dyDescent="0.6">
      <c r="A25" s="1" t="s">
        <v>14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">
      <c r="A26" s="17" t="s">
        <v>6</v>
      </c>
      <c r="B26" s="18"/>
      <c r="C26" s="18"/>
      <c r="D26" s="18"/>
      <c r="E26" s="19"/>
      <c r="G26" s="3" t="s">
        <v>7</v>
      </c>
      <c r="H26" s="3"/>
      <c r="I26" s="3"/>
      <c r="J26" s="3"/>
      <c r="K26" s="3"/>
    </row>
    <row r="27" spans="1:11" x14ac:dyDescent="0.4">
      <c r="A27" s="4"/>
      <c r="B27" s="4" t="s">
        <v>2</v>
      </c>
      <c r="C27" s="4" t="s">
        <v>3</v>
      </c>
      <c r="D27" s="4" t="s">
        <v>4</v>
      </c>
      <c r="E27" s="5" t="s">
        <v>5</v>
      </c>
      <c r="G27" s="4"/>
      <c r="H27" s="4" t="s">
        <v>2</v>
      </c>
      <c r="I27" s="4" t="s">
        <v>3</v>
      </c>
      <c r="J27" s="4" t="s">
        <v>4</v>
      </c>
      <c r="K27" s="4"/>
    </row>
    <row r="28" spans="1:11" x14ac:dyDescent="0.4">
      <c r="A28" s="4" t="s">
        <v>0</v>
      </c>
      <c r="B28" s="4">
        <v>2215</v>
      </c>
      <c r="C28" s="4">
        <v>1453</v>
      </c>
      <c r="D28" s="4">
        <v>475</v>
      </c>
      <c r="E28" s="4">
        <f>SUM(B28:D28)</f>
        <v>4143</v>
      </c>
      <c r="G28" s="4" t="s">
        <v>0</v>
      </c>
      <c r="H28" s="6">
        <f>E28*B30/E30</f>
        <v>2192.3504113687359</v>
      </c>
      <c r="I28" s="6">
        <f>E28*C30/E30</f>
        <v>1479.6428571428571</v>
      </c>
      <c r="J28" s="6">
        <f>E28*D30/E30</f>
        <v>471.0067314884069</v>
      </c>
      <c r="K28" s="7">
        <f>SUM(H28:J28)</f>
        <v>4143</v>
      </c>
    </row>
    <row r="29" spans="1:11" x14ac:dyDescent="0.4">
      <c r="A29" s="4" t="s">
        <v>1</v>
      </c>
      <c r="B29" s="4">
        <v>615</v>
      </c>
      <c r="C29" s="4">
        <v>457</v>
      </c>
      <c r="D29" s="4">
        <v>133</v>
      </c>
      <c r="E29" s="4">
        <f>SUM(B29:D29)</f>
        <v>1205</v>
      </c>
      <c r="G29" s="4" t="s">
        <v>1</v>
      </c>
      <c r="H29" s="6">
        <f>E29*B30/E30</f>
        <v>637.64958863126401</v>
      </c>
      <c r="I29" s="6">
        <f>E29*C30/E30</f>
        <v>430.35714285714283</v>
      </c>
      <c r="J29" s="6">
        <f>E29*D30/E30</f>
        <v>136.99326851159313</v>
      </c>
      <c r="K29" s="7">
        <f>SUM(H29:J29)</f>
        <v>1205</v>
      </c>
    </row>
    <row r="30" spans="1:11" x14ac:dyDescent="0.4">
      <c r="A30" s="4"/>
      <c r="B30" s="4">
        <f>SUM(B28:B29)</f>
        <v>2830</v>
      </c>
      <c r="C30" s="4">
        <f t="shared" ref="C30" si="8">SUM(C28:C29)</f>
        <v>1910</v>
      </c>
      <c r="D30" s="4">
        <f t="shared" ref="D30" si="9">SUM(D28:D29)</f>
        <v>608</v>
      </c>
      <c r="E30" s="5">
        <f>SUM(E28:E29)</f>
        <v>5348</v>
      </c>
      <c r="H30" s="8">
        <f>SUM(H28:H29)</f>
        <v>2830</v>
      </c>
      <c r="I30" s="8">
        <f t="shared" ref="I30" si="10">SUM(I28:I29)</f>
        <v>1910</v>
      </c>
      <c r="J30" s="8">
        <f t="shared" ref="J30" si="11">SUM(J28:J29)</f>
        <v>608</v>
      </c>
      <c r="K30" s="8">
        <f>SUM(K28:K29)</f>
        <v>5348</v>
      </c>
    </row>
    <row r="32" spans="1:11" x14ac:dyDescent="0.4">
      <c r="A32" s="9" t="s">
        <v>8</v>
      </c>
      <c r="B32" s="9"/>
      <c r="C32" s="9"/>
      <c r="D32" s="9"/>
      <c r="G32" s="9" t="s">
        <v>9</v>
      </c>
      <c r="H32" s="9"/>
      <c r="I32" s="10"/>
      <c r="J32" s="10"/>
    </row>
    <row r="33" spans="1:11" x14ac:dyDescent="0.4">
      <c r="A33" s="4"/>
      <c r="B33" s="4" t="s">
        <v>2</v>
      </c>
      <c r="C33" s="4" t="s">
        <v>3</v>
      </c>
      <c r="D33" s="4" t="s">
        <v>4</v>
      </c>
      <c r="G33" s="5" t="s">
        <v>11</v>
      </c>
      <c r="H33" s="11">
        <f>SUM(B34:D35)</f>
        <v>3.3179408576423692</v>
      </c>
    </row>
    <row r="34" spans="1:11" x14ac:dyDescent="0.4">
      <c r="A34" s="4" t="s">
        <v>0</v>
      </c>
      <c r="B34" s="12">
        <f t="shared" ref="B34:D35" si="12">(B28-H28)^2/H28</f>
        <v>0.23399720341476282</v>
      </c>
      <c r="C34" s="12">
        <f t="shared" si="12"/>
        <v>0.47973862970242293</v>
      </c>
      <c r="D34" s="12">
        <f t="shared" si="12"/>
        <v>3.3855553094305345E-2</v>
      </c>
      <c r="G34" s="13" t="s">
        <v>10</v>
      </c>
      <c r="H34" s="12">
        <f>(2-1)*(3-1)</f>
        <v>2</v>
      </c>
      <c r="I34" s="14"/>
      <c r="J34" s="14"/>
    </row>
    <row r="35" spans="1:11" x14ac:dyDescent="0.4">
      <c r="A35" s="4" t="s">
        <v>1</v>
      </c>
      <c r="B35" s="12">
        <f t="shared" si="12"/>
        <v>0.8045231649355622</v>
      </c>
      <c r="C35" s="12">
        <f t="shared" si="12"/>
        <v>1.6494250148192089</v>
      </c>
      <c r="D35" s="12">
        <f t="shared" si="12"/>
        <v>0.11640129167610706</v>
      </c>
      <c r="G35" s="5" t="s">
        <v>12</v>
      </c>
      <c r="H35" s="15">
        <f>_xlfn.CHISQ.DIST.RT(H33,H34)</f>
        <v>0.19033484252525421</v>
      </c>
      <c r="I35" s="16" t="s">
        <v>17</v>
      </c>
      <c r="J35" s="14"/>
    </row>
    <row r="37" spans="1:11" ht="23.15" x14ac:dyDescent="0.6">
      <c r="A37" s="1" t="s">
        <v>16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4">
      <c r="A38" s="17" t="s">
        <v>6</v>
      </c>
      <c r="B38" s="18"/>
      <c r="C38" s="18"/>
      <c r="D38" s="18"/>
      <c r="E38" s="19"/>
      <c r="G38" s="3" t="s">
        <v>7</v>
      </c>
      <c r="H38" s="3"/>
      <c r="I38" s="3"/>
      <c r="J38" s="3"/>
      <c r="K38" s="3"/>
    </row>
    <row r="39" spans="1:11" x14ac:dyDescent="0.4">
      <c r="A39" s="4"/>
      <c r="B39" s="4" t="s">
        <v>2</v>
      </c>
      <c r="C39" s="4" t="s">
        <v>3</v>
      </c>
      <c r="D39" s="4" t="s">
        <v>4</v>
      </c>
      <c r="E39" s="5" t="s">
        <v>5</v>
      </c>
      <c r="G39" s="4"/>
      <c r="H39" s="4" t="s">
        <v>2</v>
      </c>
      <c r="I39" s="4" t="s">
        <v>3</v>
      </c>
      <c r="J39" s="4" t="s">
        <v>4</v>
      </c>
      <c r="K39" s="4"/>
    </row>
    <row r="40" spans="1:11" x14ac:dyDescent="0.4">
      <c r="A40" s="4" t="s">
        <v>0</v>
      </c>
      <c r="B40" s="4">
        <v>11074</v>
      </c>
      <c r="C40" s="4">
        <v>2238</v>
      </c>
      <c r="D40" s="4">
        <v>1207</v>
      </c>
      <c r="E40" s="4">
        <f>SUM(B40:D40)</f>
        <v>14519</v>
      </c>
      <c r="G40" s="4" t="s">
        <v>0</v>
      </c>
      <c r="H40" s="6">
        <f>E40*B42/E42</f>
        <v>10977.666387421059</v>
      </c>
      <c r="I40" s="6">
        <f>E40*C42/E42</f>
        <v>2321.2810284830521</v>
      </c>
      <c r="J40" s="6">
        <f>E40*D42/E42</f>
        <v>1220.0525840958887</v>
      </c>
      <c r="K40" s="7">
        <f>SUM(H40:J40)</f>
        <v>14519</v>
      </c>
    </row>
    <row r="41" spans="1:11" x14ac:dyDescent="0.4">
      <c r="A41" s="4" t="s">
        <v>1</v>
      </c>
      <c r="B41" s="4">
        <v>659</v>
      </c>
      <c r="C41" s="4">
        <v>243</v>
      </c>
      <c r="D41" s="4">
        <v>97</v>
      </c>
      <c r="E41" s="4">
        <f>SUM(B41:D41)</f>
        <v>999</v>
      </c>
      <c r="G41" s="4" t="s">
        <v>1</v>
      </c>
      <c r="H41" s="6">
        <f>E41*B42/E42</f>
        <v>755.33361257894057</v>
      </c>
      <c r="I41" s="6">
        <f>E41*C42/E42</f>
        <v>159.71897151694807</v>
      </c>
      <c r="J41" s="6">
        <f>E41*D42/E42</f>
        <v>83.947415904111352</v>
      </c>
      <c r="K41" s="7">
        <f>SUM(H41:J41)</f>
        <v>999</v>
      </c>
    </row>
    <row r="42" spans="1:11" x14ac:dyDescent="0.4">
      <c r="A42" s="4"/>
      <c r="B42" s="4">
        <f>SUM(B40:B41)</f>
        <v>11733</v>
      </c>
      <c r="C42" s="4">
        <f t="shared" ref="C42:D42" si="13">SUM(C40:C41)</f>
        <v>2481</v>
      </c>
      <c r="D42" s="4">
        <f t="shared" si="13"/>
        <v>1304</v>
      </c>
      <c r="E42" s="5">
        <f>SUM(E40:E41)</f>
        <v>15518</v>
      </c>
      <c r="H42" s="20">
        <f>SUM(H40:H41)</f>
        <v>11733</v>
      </c>
      <c r="I42" s="8">
        <f t="shared" ref="I42:J42" si="14">SUM(I40:I41)</f>
        <v>2481</v>
      </c>
      <c r="J42" s="8">
        <f t="shared" si="14"/>
        <v>1304</v>
      </c>
      <c r="K42" s="8">
        <f>SUM(K40:K41)</f>
        <v>15518</v>
      </c>
    </row>
    <row r="44" spans="1:11" x14ac:dyDescent="0.4">
      <c r="A44" s="9" t="s">
        <v>8</v>
      </c>
      <c r="B44" s="9"/>
      <c r="C44" s="9"/>
      <c r="D44" s="9"/>
      <c r="G44" s="9" t="s">
        <v>9</v>
      </c>
      <c r="H44" s="9"/>
      <c r="I44" s="10"/>
      <c r="J44" s="10"/>
    </row>
    <row r="45" spans="1:11" x14ac:dyDescent="0.4">
      <c r="A45" s="4"/>
      <c r="B45" s="4" t="s">
        <v>2</v>
      </c>
      <c r="C45" s="4" t="s">
        <v>3</v>
      </c>
      <c r="D45" s="4" t="s">
        <v>4</v>
      </c>
      <c r="G45" s="5" t="s">
        <v>11</v>
      </c>
      <c r="H45" s="11">
        <f>SUM(B46:D47)</f>
        <v>61.713145292822425</v>
      </c>
    </row>
    <row r="46" spans="1:11" x14ac:dyDescent="0.4">
      <c r="A46" s="4" t="s">
        <v>0</v>
      </c>
      <c r="B46" s="12">
        <f t="shared" ref="B46:B47" si="15">(B40-H40)^2/H40</f>
        <v>0.84536772980670427</v>
      </c>
      <c r="C46" s="12">
        <f t="shared" ref="C46:C47" si="16">(C40-I40)^2/I40</f>
        <v>2.9878888510657418</v>
      </c>
      <c r="D46" s="12">
        <f t="shared" ref="D46:D47" si="17">(D40-J40)^2/J40</f>
        <v>0.13964148250749284</v>
      </c>
      <c r="G46" s="13" t="s">
        <v>10</v>
      </c>
      <c r="H46" s="12">
        <f>(2-1)*(3-1)</f>
        <v>2</v>
      </c>
      <c r="I46" s="14"/>
      <c r="J46" s="14"/>
    </row>
    <row r="47" spans="1:11" x14ac:dyDescent="0.4">
      <c r="A47" s="4" t="s">
        <v>1</v>
      </c>
      <c r="B47" s="12">
        <f t="shared" si="15"/>
        <v>12.286180249312736</v>
      </c>
      <c r="C47" s="12">
        <f t="shared" si="16"/>
        <v>43.424582811434789</v>
      </c>
      <c r="D47" s="12">
        <f t="shared" si="17"/>
        <v>2.0294841686949572</v>
      </c>
      <c r="G47" s="5" t="s">
        <v>12</v>
      </c>
      <c r="H47" s="15">
        <f>_xlfn.CHISQ.DIST.RT(H45,H46)</f>
        <v>3.9733861096281979E-14</v>
      </c>
      <c r="I47" s="16" t="s">
        <v>18</v>
      </c>
      <c r="J47" s="14"/>
    </row>
    <row r="48" spans="1:11" ht="23.15" x14ac:dyDescent="0.6">
      <c r="A48" s="1" t="s">
        <v>19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">
      <c r="A49" s="17" t="s">
        <v>6</v>
      </c>
      <c r="B49" s="18"/>
      <c r="C49" s="18"/>
      <c r="D49" s="18"/>
      <c r="E49" s="19"/>
      <c r="G49" s="3" t="s">
        <v>7</v>
      </c>
      <c r="H49" s="3"/>
      <c r="I49" s="3"/>
      <c r="J49" s="3"/>
      <c r="K49" s="3"/>
    </row>
    <row r="50" spans="1:11" x14ac:dyDescent="0.4">
      <c r="A50" s="4"/>
      <c r="B50" s="4" t="s">
        <v>2</v>
      </c>
      <c r="C50" s="4" t="s">
        <v>3</v>
      </c>
      <c r="D50" s="4" t="s">
        <v>4</v>
      </c>
      <c r="E50" s="5" t="s">
        <v>5</v>
      </c>
      <c r="G50" s="4"/>
      <c r="H50" s="4" t="s">
        <v>2</v>
      </c>
      <c r="I50" s="4" t="s">
        <v>3</v>
      </c>
      <c r="J50" s="4" t="s">
        <v>4</v>
      </c>
      <c r="K50" s="4"/>
    </row>
    <row r="51" spans="1:11" x14ac:dyDescent="0.4">
      <c r="A51" s="4" t="s">
        <v>0</v>
      </c>
      <c r="B51" s="4">
        <v>2989</v>
      </c>
      <c r="C51" s="4">
        <v>1310</v>
      </c>
      <c r="D51" s="4">
        <v>711</v>
      </c>
      <c r="E51" s="4">
        <f>SUM(B51:D51)</f>
        <v>5010</v>
      </c>
      <c r="G51" s="4" t="s">
        <v>0</v>
      </c>
      <c r="H51" s="6">
        <f>E51*B53/E53</f>
        <v>2966.0789616008651</v>
      </c>
      <c r="I51" s="6">
        <f>E51*C53/E53</f>
        <v>1347.5608436992968</v>
      </c>
      <c r="J51" s="6">
        <f>E51*D53/E53</f>
        <v>696.36019469983773</v>
      </c>
      <c r="K51" s="7">
        <f>SUM(H51:J51)</f>
        <v>5010</v>
      </c>
    </row>
    <row r="52" spans="1:11" x14ac:dyDescent="0.4">
      <c r="A52" s="4" t="s">
        <v>1</v>
      </c>
      <c r="B52" s="4">
        <v>295</v>
      </c>
      <c r="C52" s="4">
        <v>182</v>
      </c>
      <c r="D52" s="4">
        <v>60</v>
      </c>
      <c r="E52" s="4">
        <f>SUM(B52:D52)</f>
        <v>537</v>
      </c>
      <c r="G52" s="4" t="s">
        <v>1</v>
      </c>
      <c r="H52" s="6">
        <f>E52*B53/E53</f>
        <v>317.92103839913466</v>
      </c>
      <c r="I52" s="6">
        <f>E52*C53/E53</f>
        <v>144.43915630070308</v>
      </c>
      <c r="J52" s="6">
        <f>E52*D53/E53</f>
        <v>74.639805300162251</v>
      </c>
      <c r="K52" s="7">
        <f>SUM(H52:J52)</f>
        <v>537</v>
      </c>
    </row>
    <row r="53" spans="1:11" x14ac:dyDescent="0.4">
      <c r="A53" s="4"/>
      <c r="B53" s="4">
        <f>SUM(B51:B52)</f>
        <v>3284</v>
      </c>
      <c r="C53" s="4">
        <f t="shared" ref="C53:D53" si="18">SUM(C51:C52)</f>
        <v>1492</v>
      </c>
      <c r="D53" s="4">
        <f t="shared" si="18"/>
        <v>771</v>
      </c>
      <c r="E53" s="5">
        <f>SUM(E51:E52)</f>
        <v>5547</v>
      </c>
      <c r="H53" s="8">
        <f>SUM(H51:H52)</f>
        <v>3284</v>
      </c>
      <c r="I53" s="8">
        <f t="shared" ref="I53:J53" si="19">SUM(I51:I52)</f>
        <v>1492</v>
      </c>
      <c r="J53" s="8">
        <f t="shared" si="19"/>
        <v>771</v>
      </c>
      <c r="K53" s="8">
        <f>SUM(K51:K52)</f>
        <v>5547</v>
      </c>
    </row>
    <row r="55" spans="1:11" x14ac:dyDescent="0.4">
      <c r="A55" s="9" t="s">
        <v>8</v>
      </c>
      <c r="B55" s="9"/>
      <c r="C55" s="9"/>
      <c r="D55" s="9"/>
      <c r="G55" s="9" t="s">
        <v>9</v>
      </c>
      <c r="H55" s="9"/>
      <c r="I55" s="10"/>
      <c r="J55" s="10"/>
    </row>
    <row r="56" spans="1:11" x14ac:dyDescent="0.4">
      <c r="A56" s="4"/>
      <c r="B56" s="4" t="s">
        <v>2</v>
      </c>
      <c r="C56" s="4" t="s">
        <v>3</v>
      </c>
      <c r="D56" s="4" t="s">
        <v>4</v>
      </c>
      <c r="G56" s="5" t="s">
        <v>11</v>
      </c>
      <c r="H56" s="11">
        <f>SUM(B57:D58)</f>
        <v>15.823370282254217</v>
      </c>
    </row>
    <row r="57" spans="1:11" x14ac:dyDescent="0.4">
      <c r="A57" s="4" t="s">
        <v>0</v>
      </c>
      <c r="B57" s="12">
        <f t="shared" ref="B57:B58" si="20">(B51-H51)^2/H51</f>
        <v>0.17712744943616024</v>
      </c>
      <c r="C57" s="12">
        <f t="shared" ref="C57:C58" si="21">(C51-I51)^2/I51</f>
        <v>1.0469412093705979</v>
      </c>
      <c r="D57" s="12">
        <f t="shared" ref="D57:D58" si="22">(D51-J51)^2/J51</f>
        <v>0.30777735553802343</v>
      </c>
      <c r="G57" s="13" t="s">
        <v>10</v>
      </c>
      <c r="H57" s="12">
        <f>(2-1)*(3-1)</f>
        <v>2</v>
      </c>
      <c r="I57" s="14"/>
      <c r="J57" s="14"/>
    </row>
    <row r="58" spans="1:11" x14ac:dyDescent="0.4">
      <c r="A58" s="4" t="s">
        <v>1</v>
      </c>
      <c r="B58" s="12">
        <f t="shared" si="20"/>
        <v>1.6525298355216855</v>
      </c>
      <c r="C58" s="12">
        <f t="shared" si="21"/>
        <v>9.7675520650777035</v>
      </c>
      <c r="D58" s="12">
        <f t="shared" si="22"/>
        <v>2.8714423673100451</v>
      </c>
      <c r="G58" s="5" t="s">
        <v>12</v>
      </c>
      <c r="H58" s="15">
        <f>_xlfn.CHISQ.DIST.RT(H56,H57)</f>
        <v>3.664365626953829E-4</v>
      </c>
      <c r="I58" s="16" t="s">
        <v>18</v>
      </c>
      <c r="J58" s="14"/>
    </row>
  </sheetData>
  <mergeCells count="25">
    <mergeCell ref="A48:K48"/>
    <mergeCell ref="A49:E49"/>
    <mergeCell ref="G49:K49"/>
    <mergeCell ref="A55:D55"/>
    <mergeCell ref="G55:H55"/>
    <mergeCell ref="A32:D32"/>
    <mergeCell ref="G32:H32"/>
    <mergeCell ref="A25:K25"/>
    <mergeCell ref="A1:K1"/>
    <mergeCell ref="A2:E2"/>
    <mergeCell ref="G2:K2"/>
    <mergeCell ref="A8:D8"/>
    <mergeCell ref="G8:H8"/>
    <mergeCell ref="A26:E26"/>
    <mergeCell ref="G26:K26"/>
    <mergeCell ref="A14:E14"/>
    <mergeCell ref="G14:K14"/>
    <mergeCell ref="A20:D20"/>
    <mergeCell ref="G20:H20"/>
    <mergeCell ref="A13:K13"/>
    <mergeCell ref="A38:E38"/>
    <mergeCell ref="G38:K38"/>
    <mergeCell ref="A44:D44"/>
    <mergeCell ref="G44:H44"/>
    <mergeCell ref="A37:K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Littlejohn</dc:creator>
  <cp:lastModifiedBy>Darren Littlejohn</cp:lastModifiedBy>
  <cp:lastPrinted>2025-12-02T04:43:22Z</cp:lastPrinted>
  <dcterms:created xsi:type="dcterms:W3CDTF">2025-12-01T23:30:00Z</dcterms:created>
  <dcterms:modified xsi:type="dcterms:W3CDTF">2025-12-02T21:43:42Z</dcterms:modified>
</cp:coreProperties>
</file>